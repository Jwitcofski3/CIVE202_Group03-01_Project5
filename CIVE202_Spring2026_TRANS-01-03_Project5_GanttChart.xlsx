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mc:AlternateContent xmlns:mc="http://schemas.openxmlformats.org/markup-compatibility/2006">
    <mc:Choice Requires="x15">
      <x15ac:absPath xmlns:x15ac="http://schemas.microsoft.com/office/spreadsheetml/2010/11/ac" url="C:\Users\camer\Downloads\"/>
    </mc:Choice>
  </mc:AlternateContent>
  <xr:revisionPtr revIDLastSave="28" documentId="8_{7A9DF9F0-FAD0-4C90-BDC8-A504AC1E69FB}" xr6:coauthVersionLast="47" xr6:coauthVersionMax="47" xr10:uidLastSave="{48675D16-E368-4407-BA45-36C2BD885B39}"/>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1" l="1"/>
  <c r="H7" i="11"/>
  <c r="E10" i="11" l="1"/>
  <c r="E11" i="11"/>
  <c r="E12" i="11"/>
  <c r="E13" i="11"/>
  <c r="H13" i="11" s="1"/>
  <c r="E14" i="11"/>
  <c r="E15" i="11"/>
  <c r="E16" i="11"/>
  <c r="E17" i="11"/>
  <c r="H17" i="11" s="1"/>
  <c r="E18" i="11"/>
  <c r="E9" i="11"/>
  <c r="H8" i="11"/>
  <c r="F18" i="11" l="1"/>
  <c r="F16" i="11"/>
  <c r="F14" i="11"/>
  <c r="F11" i="11"/>
  <c r="F12" i="11"/>
  <c r="F9" i="11"/>
  <c r="H9" i="11" s="1"/>
  <c r="F10" i="11"/>
  <c r="I6" i="11"/>
  <c r="H10" i="11" l="1"/>
  <c r="H14" i="11"/>
  <c r="K5" i="11"/>
  <c r="L5" i="11" s="1"/>
  <c r="M5" i="11" l="1"/>
  <c r="N5" i="11" s="1"/>
  <c r="O5" i="11" s="1"/>
  <c r="P5" i="11" s="1"/>
  <c r="H12" i="11"/>
  <c r="J6" i="11"/>
  <c r="P4" i="11" l="1"/>
  <c r="Q5" i="11"/>
  <c r="R5" i="11" s="1"/>
  <c r="S5" i="11" s="1"/>
  <c r="H15" i="11"/>
  <c r="H16" i="11"/>
  <c r="H19" i="11"/>
  <c r="H20" i="11"/>
  <c r="K6" i="11"/>
  <c r="T5" i="11" l="1"/>
  <c r="U5" i="11" s="1"/>
  <c r="V5" i="11" s="1"/>
  <c r="W5" i="11" s="1"/>
  <c r="W4" i="11" s="1"/>
  <c r="X5" i="11"/>
  <c r="Y5" i="11"/>
  <c r="H18" i="11"/>
  <c r="L6" i="11"/>
  <c r="Z5" i="11" l="1"/>
  <c r="AA5" i="11" s="1"/>
  <c r="AB5" i="11" s="1"/>
  <c r="AC5" i="11" s="1"/>
  <c r="AD5" i="11" s="1"/>
  <c r="M6" i="11"/>
  <c r="AD6" i="11" l="1"/>
  <c r="AE5" i="11"/>
  <c r="AD4" i="11"/>
  <c r="N6" i="11"/>
  <c r="AE6" i="11" l="1"/>
  <c r="AF5" i="11"/>
  <c r="O6" i="11"/>
  <c r="AF6" i="11" l="1"/>
  <c r="AG5" i="11"/>
  <c r="P6" i="11"/>
  <c r="Q6" i="11"/>
  <c r="AG6" i="11" l="1"/>
  <c r="AH5" i="11"/>
  <c r="R6" i="11"/>
  <c r="AH6" i="11" l="1"/>
  <c r="AI5" i="11"/>
  <c r="S6" i="11"/>
  <c r="AI6" i="11" l="1"/>
  <c r="AJ5" i="11"/>
  <c r="T6" i="11"/>
  <c r="AK5" i="11" l="1"/>
  <c r="AJ6" i="11"/>
  <c r="U6" i="11"/>
  <c r="AK6" i="11" l="1"/>
  <c r="AL5" i="11"/>
  <c r="AK4" i="11"/>
  <c r="V6" i="11"/>
  <c r="AL6" i="11" l="1"/>
  <c r="AM5" i="11"/>
  <c r="W6" i="11"/>
  <c r="AM6" i="11" l="1"/>
  <c r="AN5" i="11"/>
  <c r="X6" i="11"/>
  <c r="AN6" i="11" l="1"/>
  <c r="AO5" i="11"/>
  <c r="Y6" i="11"/>
  <c r="AO6" i="11" l="1"/>
  <c r="AP5" i="11"/>
  <c r="Z6" i="11"/>
  <c r="AP6" i="11" l="1"/>
  <c r="AQ5" i="11"/>
  <c r="AQ6" i="11" s="1"/>
  <c r="AA6" i="11"/>
  <c r="AB6" i="11" l="1"/>
  <c r="AC6" i="11" l="1"/>
</calcChain>
</file>

<file path=xl/sharedStrings.xml><?xml version="1.0" encoding="utf-8"?>
<sst xmlns="http://schemas.openxmlformats.org/spreadsheetml/2006/main" count="46" uniqueCount="42">
  <si>
    <t>Project 5</t>
  </si>
  <si>
    <t>Project start:</t>
  </si>
  <si>
    <t>Group Trans 03-1</t>
  </si>
  <si>
    <t>CIVE 202-150</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</si>
  <si>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</si>
  <si>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</si>
  <si>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</si>
  <si>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</si>
  <si>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</si>
  <si>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</si>
  <si>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</si>
  <si>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</si>
  <si>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</si>
  <si>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Writing</t>
  </si>
  <si>
    <t>Scope of Work</t>
  </si>
  <si>
    <t>Cam Becker</t>
  </si>
  <si>
    <t>Annotated Code</t>
  </si>
  <si>
    <t>Justin Witcofski</t>
  </si>
  <si>
    <t>Engineering Timesheet</t>
  </si>
  <si>
    <t>All members add</t>
  </si>
  <si>
    <t>Gantt Chart</t>
  </si>
  <si>
    <t>Python Code in Jupyter Notebool</t>
  </si>
  <si>
    <t>Creating the code</t>
  </si>
  <si>
    <t>Report</t>
  </si>
  <si>
    <t>Written Report</t>
  </si>
  <si>
    <t>Gavin</t>
  </si>
  <si>
    <t>GitHub</t>
  </si>
  <si>
    <t>Link &amp; README</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</si>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</sst>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0.14993743705557422"/>
      </left>
      <right/>
      <top/>
      <bottom/>
      <diagonal/>
    </border>
    <border>
      <left style="thin">
        <color theme="0" tint="-4.9989318521683403E-2"/>
      </left>
      <right/>
      <top style="thin">
        <color theme="0" tint="-4.9989318521683403E-2"/>
      </top>
      <bottom style="thin">
        <color theme="0" tint="-4.9989318521683403E-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7" fontId="21" fillId="13" borderId="0" xfId="0" applyNumberFormat="1" applyFont="1" applyFill="1" applyAlignment="1">
      <alignment horizontal="center" vertical="center"/>
    </xf>
    <xf numFmtId="0" fontId="22" fillId="13" borderId="0" xfId="0" applyFont="1" applyFill="1" applyAlignment="1">
      <alignment horizontal="center" vertical="center" shrinkToFit="1"/>
    </xf>
    <xf numFmtId="0" fontId="4" fillId="13" borderId="0" xfId="0" applyFont="1" applyFill="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19" fillId="4" borderId="5" xfId="12" applyFont="1" applyFill="1" applyBorder="1" applyAlignment="1">
      <alignment horizontal="left" vertical="center" wrapText="1" indent="2"/>
    </xf>
    <xf numFmtId="164" fontId="19" fillId="14" borderId="6" xfId="10" applyFont="1" applyFill="1" applyBorder="1">
      <alignment horizontal="center" vertical="center"/>
    </xf>
    <xf numFmtId="164" fontId="19" fillId="4" borderId="6" xfId="10" applyFont="1" applyFill="1" applyBorder="1">
      <alignment horizontal="center" vertical="center"/>
    </xf>
    <xf numFmtId="164" fontId="19" fillId="5" borderId="6" xfId="10" applyFont="1" applyFill="1" applyBorder="1">
      <alignment horizontal="center" vertical="center"/>
    </xf>
    <xf numFmtId="164" fontId="19" fillId="15" borderId="6" xfId="10" applyFont="1" applyFill="1" applyBorder="1">
      <alignment horizontal="center" vertical="center"/>
    </xf>
    <xf numFmtId="164" fontId="19" fillId="10" borderId="6" xfId="10" applyFont="1" applyFill="1" applyBorder="1">
      <alignment horizontal="center" vertical="center"/>
    </xf>
    <xf numFmtId="164" fontId="19" fillId="16" borderId="6" xfId="10" applyFont="1" applyFill="1" applyBorder="1">
      <alignment horizontal="center" vertical="center"/>
    </xf>
    <xf numFmtId="0" fontId="2" fillId="0" borderId="0" xfId="1" applyAlignment="1" applyProtection="1">
      <alignment horizontal="left" vertical="top" indent="1"/>
    </xf>
    <xf numFmtId="166" fontId="19" fillId="13" borderId="0" xfId="0" applyNumberFormat="1" applyFont="1" applyFill="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3"/>
  <sheetViews>
    <sheetView showGridLines="0" tabSelected="1" showRuler="0" zoomScaleNormal="100" zoomScalePageLayoutView="70" workbookViewId="0">
      <selection activeCell="AK4" sqref="AK4:AQ4"/>
    </sheetView>
  </sheetViews>
  <sheetFormatPr defaultColWidth="8.75" defaultRowHeight="30" customHeight="1"/>
  <cols>
    <col min="1" max="1" width="2.75" style="13" customWidth="1"/>
    <col min="2" max="2" width="23.8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3" t="s">
        <v>0</v>
      </c>
      <c r="C1" s="18"/>
      <c r="D1" s="19"/>
      <c r="E1" s="20"/>
      <c r="F1" s="21"/>
      <c r="H1" s="1"/>
      <c r="I1" s="121" t="s">
        <v>1</v>
      </c>
      <c r="J1" s="126"/>
      <c r="K1" s="126"/>
      <c r="L1" s="126"/>
      <c r="M1" s="126"/>
      <c r="N1" s="126"/>
      <c r="O1" s="126"/>
      <c r="P1" s="24"/>
      <c r="Q1" s="120">
        <v>46139</v>
      </c>
      <c r="R1" s="127"/>
      <c r="S1" s="127"/>
      <c r="T1" s="127"/>
      <c r="U1" s="127"/>
      <c r="V1" s="127"/>
      <c r="W1" s="127"/>
      <c r="X1" s="127"/>
      <c r="Y1" s="127"/>
      <c r="Z1" s="127"/>
    </row>
    <row r="2" spans="1:64" ht="30" customHeight="1">
      <c r="B2" s="91" t="s">
        <v>2</v>
      </c>
      <c r="C2" s="92" t="s">
        <v>3</v>
      </c>
      <c r="D2" s="22"/>
      <c r="E2" s="23"/>
      <c r="F2" s="22"/>
      <c r="I2" s="121" t="s">
        <v>4</v>
      </c>
      <c r="J2" s="126"/>
      <c r="K2" s="126"/>
      <c r="L2" s="126"/>
      <c r="M2" s="126"/>
      <c r="N2" s="126"/>
      <c r="O2" s="126"/>
      <c r="P2" s="24"/>
      <c r="Q2" s="119">
        <v>1</v>
      </c>
      <c r="R2" s="127"/>
      <c r="S2" s="127"/>
      <c r="T2" s="127"/>
      <c r="U2" s="127"/>
      <c r="V2" s="127"/>
      <c r="W2" s="127"/>
      <c r="X2" s="127"/>
      <c r="Y2" s="127"/>
      <c r="Z2" s="127"/>
    </row>
    <row r="3" spans="1:64" s="26" customFormat="1" ht="30" customHeight="1">
      <c r="A3" s="13"/>
      <c r="B3" s="25" t="s">
        <v>5</v>
      </c>
      <c r="D3" s="27"/>
      <c r="E3" s="28"/>
    </row>
    <row r="4" spans="1:64" s="26" customFormat="1" ht="30" customHeight="1">
      <c r="A4" s="14"/>
      <c r="B4" s="113" t="s">
        <v>6</v>
      </c>
      <c r="E4" s="29"/>
      <c r="I4" s="115">
        <f>I5</f>
        <v>46078</v>
      </c>
      <c r="J4" s="116"/>
      <c r="K4" s="116"/>
      <c r="L4" s="116"/>
      <c r="M4" s="116"/>
      <c r="N4" s="116"/>
      <c r="O4" s="116"/>
      <c r="P4" s="116">
        <f>P5</f>
        <v>46085</v>
      </c>
      <c r="Q4" s="116"/>
      <c r="R4" s="116"/>
      <c r="S4" s="116"/>
      <c r="T4" s="116"/>
      <c r="U4" s="116"/>
      <c r="V4" s="116"/>
      <c r="W4" s="116">
        <f>W5</f>
        <v>46092</v>
      </c>
      <c r="X4" s="116"/>
      <c r="Y4" s="116"/>
      <c r="Z4" s="116"/>
      <c r="AA4" s="116"/>
      <c r="AB4" s="116"/>
      <c r="AC4" s="117"/>
      <c r="AD4" s="116">
        <f>AD5</f>
        <v>46099</v>
      </c>
      <c r="AE4" s="116"/>
      <c r="AF4" s="116"/>
      <c r="AG4" s="116"/>
      <c r="AH4" s="116"/>
      <c r="AI4" s="116"/>
      <c r="AJ4" s="117"/>
      <c r="AK4" s="116">
        <f>AK5</f>
        <v>46106</v>
      </c>
      <c r="AL4" s="116"/>
      <c r="AM4" s="116"/>
      <c r="AN4" s="116"/>
      <c r="AO4" s="116"/>
      <c r="AP4" s="116"/>
      <c r="AQ4" s="117"/>
      <c r="AR4" s="114"/>
      <c r="AS4" s="114"/>
      <c r="AT4" s="114"/>
      <c r="AU4" s="114"/>
      <c r="AV4" s="114"/>
      <c r="AW4" s="114"/>
      <c r="AX4" s="114"/>
      <c r="AY4" s="114"/>
      <c r="AZ4" s="114"/>
      <c r="BA4" s="114"/>
      <c r="BB4" s="114"/>
      <c r="BC4" s="114"/>
      <c r="BD4" s="114"/>
      <c r="BE4" s="114"/>
      <c r="BF4" s="114"/>
      <c r="BG4" s="114"/>
      <c r="BH4" s="114"/>
      <c r="BI4" s="114"/>
      <c r="BJ4" s="114"/>
      <c r="BK4" s="114"/>
      <c r="BL4" s="114"/>
    </row>
    <row r="5" spans="1:64" s="26" customFormat="1" ht="15" customHeight="1">
      <c r="A5" s="122"/>
      <c r="B5" s="123" t="s">
        <v>7</v>
      </c>
      <c r="C5" s="125" t="s">
        <v>8</v>
      </c>
      <c r="D5" s="118" t="s">
        <v>9</v>
      </c>
      <c r="E5" s="118" t="s">
        <v>10</v>
      </c>
      <c r="F5" s="118" t="s">
        <v>11</v>
      </c>
      <c r="I5" s="30">
        <v>46078</v>
      </c>
      <c r="J5" s="30">
        <v>46079</v>
      </c>
      <c r="K5" s="30">
        <f t="shared" ref="K5:AB5" si="0">J5+1</f>
        <v>46080</v>
      </c>
      <c r="L5" s="30">
        <f t="shared" si="0"/>
        <v>46081</v>
      </c>
      <c r="M5" s="30">
        <f t="shared" si="0"/>
        <v>46082</v>
      </c>
      <c r="N5" s="30">
        <f t="shared" si="0"/>
        <v>46083</v>
      </c>
      <c r="O5" s="31">
        <f>N5+1</f>
        <v>46084</v>
      </c>
      <c r="P5" s="32">
        <f>O5+1</f>
        <v>46085</v>
      </c>
      <c r="Q5" s="30">
        <f>P5+1</f>
        <v>46086</v>
      </c>
      <c r="R5" s="30">
        <f t="shared" si="0"/>
        <v>46087</v>
      </c>
      <c r="S5" s="30">
        <f t="shared" si="0"/>
        <v>46088</v>
      </c>
      <c r="T5" s="30">
        <f>S5+1</f>
        <v>46089</v>
      </c>
      <c r="U5" s="30">
        <f t="shared" si="0"/>
        <v>46090</v>
      </c>
      <c r="V5" s="31">
        <f>U5+1</f>
        <v>46091</v>
      </c>
      <c r="W5" s="32">
        <f>V5+1</f>
        <v>46092</v>
      </c>
      <c r="X5" s="30">
        <f>W5+1</f>
        <v>46093</v>
      </c>
      <c r="Y5" s="30">
        <f t="shared" si="0"/>
        <v>46094</v>
      </c>
      <c r="Z5" s="30">
        <f>Y5+1</f>
        <v>46095</v>
      </c>
      <c r="AA5" s="30">
        <f t="shared" si="0"/>
        <v>46096</v>
      </c>
      <c r="AB5" s="30">
        <f t="shared" si="0"/>
        <v>46097</v>
      </c>
      <c r="AC5" s="30">
        <f>AB5+1</f>
        <v>46098</v>
      </c>
      <c r="AD5" s="30">
        <f t="shared" ref="AD5:AQ5" si="1">AC5+1</f>
        <v>46099</v>
      </c>
      <c r="AE5" s="30">
        <f t="shared" si="1"/>
        <v>46100</v>
      </c>
      <c r="AF5" s="30">
        <f t="shared" si="1"/>
        <v>46101</v>
      </c>
      <c r="AG5" s="30">
        <f t="shared" si="1"/>
        <v>46102</v>
      </c>
      <c r="AH5" s="30">
        <f t="shared" si="1"/>
        <v>46103</v>
      </c>
      <c r="AI5" s="30">
        <f t="shared" si="1"/>
        <v>46104</v>
      </c>
      <c r="AJ5" s="30">
        <f t="shared" si="1"/>
        <v>46105</v>
      </c>
      <c r="AK5" s="30">
        <f t="shared" si="1"/>
        <v>46106</v>
      </c>
      <c r="AL5" s="30">
        <f t="shared" si="1"/>
        <v>46107</v>
      </c>
      <c r="AM5" s="30">
        <f t="shared" si="1"/>
        <v>46108</v>
      </c>
      <c r="AN5" s="30">
        <f t="shared" si="1"/>
        <v>46109</v>
      </c>
      <c r="AO5" s="30">
        <f t="shared" si="1"/>
        <v>46110</v>
      </c>
      <c r="AP5" s="30">
        <f t="shared" si="1"/>
        <v>46111</v>
      </c>
      <c r="AQ5" s="30">
        <f t="shared" si="1"/>
        <v>46112</v>
      </c>
      <c r="AR5" s="101"/>
      <c r="AS5" s="101"/>
      <c r="AT5" s="101"/>
      <c r="AU5" s="101"/>
      <c r="AV5" s="101"/>
      <c r="AW5" s="101"/>
      <c r="AX5" s="101"/>
      <c r="AY5" s="101"/>
      <c r="AZ5" s="101"/>
      <c r="BA5" s="101"/>
      <c r="BB5" s="101"/>
      <c r="BC5" s="101"/>
      <c r="BD5" s="101"/>
      <c r="BE5" s="101"/>
      <c r="BF5" s="101"/>
      <c r="BG5" s="101"/>
      <c r="BH5" s="101"/>
      <c r="BI5" s="101"/>
      <c r="BJ5" s="101"/>
      <c r="BK5" s="101"/>
      <c r="BL5" s="101"/>
    </row>
    <row r="6" spans="1:64" s="26" customFormat="1" ht="15" customHeight="1" thickBot="1">
      <c r="A6" s="122"/>
      <c r="B6" s="124"/>
      <c r="C6" s="128"/>
      <c r="D6" s="128"/>
      <c r="E6" s="128"/>
      <c r="F6" s="128"/>
      <c r="I6" s="33" t="str">
        <f t="shared" ref="I6:AQ6" si="2">LEFT(TEXT(I5,"ddd"),1)</f>
        <v>W</v>
      </c>
      <c r="J6" s="34" t="str">
        <f t="shared" si="2"/>
        <v>T</v>
      </c>
      <c r="K6" s="34" t="str">
        <f t="shared" si="2"/>
        <v>F</v>
      </c>
      <c r="L6" s="34" t="str">
        <f t="shared" si="2"/>
        <v>S</v>
      </c>
      <c r="M6" s="34" t="str">
        <f t="shared" si="2"/>
        <v>S</v>
      </c>
      <c r="N6" s="34" t="str">
        <f t="shared" si="2"/>
        <v>M</v>
      </c>
      <c r="O6" s="34" t="str">
        <f t="shared" si="2"/>
        <v>T</v>
      </c>
      <c r="P6" s="34" t="str">
        <f t="shared" si="2"/>
        <v>W</v>
      </c>
      <c r="Q6" s="34" t="str">
        <f t="shared" si="2"/>
        <v>T</v>
      </c>
      <c r="R6" s="34" t="str">
        <f t="shared" si="2"/>
        <v>F</v>
      </c>
      <c r="S6" s="34" t="str">
        <f t="shared" si="2"/>
        <v>S</v>
      </c>
      <c r="T6" s="34" t="str">
        <f t="shared" si="2"/>
        <v>S</v>
      </c>
      <c r="U6" s="34" t="str">
        <f t="shared" si="2"/>
        <v>M</v>
      </c>
      <c r="V6" s="34" t="str">
        <f t="shared" si="2"/>
        <v>T</v>
      </c>
      <c r="W6" s="34" t="str">
        <f t="shared" si="2"/>
        <v>W</v>
      </c>
      <c r="X6" s="34" t="str">
        <f t="shared" si="2"/>
        <v>T</v>
      </c>
      <c r="Y6" s="34" t="str">
        <f t="shared" si="2"/>
        <v>F</v>
      </c>
      <c r="Z6" s="34" t="str">
        <f t="shared" si="2"/>
        <v>S</v>
      </c>
      <c r="AA6" s="34" t="str">
        <f t="shared" si="2"/>
        <v>S</v>
      </c>
      <c r="AB6" s="34" t="str">
        <f t="shared" si="2"/>
        <v>M</v>
      </c>
      <c r="AC6" s="35" t="str">
        <f t="shared" si="2"/>
        <v>T</v>
      </c>
      <c r="AD6" s="35" t="str">
        <f t="shared" si="2"/>
        <v>W</v>
      </c>
      <c r="AE6" s="35" t="str">
        <f t="shared" si="2"/>
        <v>T</v>
      </c>
      <c r="AF6" s="35" t="str">
        <f t="shared" si="2"/>
        <v>F</v>
      </c>
      <c r="AG6" s="35" t="str">
        <f t="shared" si="2"/>
        <v>S</v>
      </c>
      <c r="AH6" s="35" t="str">
        <f t="shared" si="2"/>
        <v>S</v>
      </c>
      <c r="AI6" s="35" t="str">
        <f t="shared" si="2"/>
        <v>M</v>
      </c>
      <c r="AJ6" s="35" t="str">
        <f t="shared" si="2"/>
        <v>T</v>
      </c>
      <c r="AK6" s="35" t="str">
        <f t="shared" si="2"/>
        <v>W</v>
      </c>
      <c r="AL6" s="35" t="str">
        <f t="shared" si="2"/>
        <v>T</v>
      </c>
      <c r="AM6" s="35" t="str">
        <f t="shared" si="2"/>
        <v>F</v>
      </c>
      <c r="AN6" s="35" t="str">
        <f t="shared" si="2"/>
        <v>S</v>
      </c>
      <c r="AO6" s="35" t="str">
        <f t="shared" si="2"/>
        <v>S</v>
      </c>
      <c r="AP6" s="35" t="str">
        <f t="shared" si="2"/>
        <v>M</v>
      </c>
      <c r="AQ6" s="35" t="str">
        <f t="shared" si="2"/>
        <v>T</v>
      </c>
      <c r="AR6" s="102"/>
      <c r="AS6" s="102"/>
      <c r="AT6" s="102"/>
      <c r="AU6" s="102"/>
      <c r="AV6" s="102"/>
      <c r="AW6" s="102"/>
      <c r="AX6" s="102"/>
      <c r="AY6" s="102"/>
      <c r="AZ6" s="102"/>
      <c r="BA6" s="102"/>
      <c r="BB6" s="102"/>
      <c r="BC6" s="102"/>
      <c r="BD6" s="102"/>
      <c r="BE6" s="102"/>
      <c r="BF6" s="102"/>
      <c r="BG6" s="102"/>
      <c r="BH6" s="102"/>
      <c r="BI6" s="102"/>
      <c r="BJ6" s="102"/>
      <c r="BK6" s="102"/>
      <c r="BL6" s="102"/>
    </row>
    <row r="7" spans="1:64" s="26" customFormat="1" ht="30" hidden="1" customHeight="1" thickBot="1">
      <c r="A7" s="13" t="s">
        <v>12</v>
      </c>
      <c r="B7" s="36"/>
      <c r="C7" s="37"/>
      <c r="D7" s="36"/>
      <c r="E7" s="36"/>
      <c r="F7" s="36"/>
      <c r="H7" s="26" t="str">
        <f ca="1">IF(OR(ISBLANK(task_start),ISBLANK(task_end)),"",task_end-task_start+1)</f>
        <v/>
      </c>
      <c r="I7" s="38"/>
      <c r="J7" s="38"/>
      <c r="K7" s="38"/>
      <c r="L7" s="38"/>
      <c r="M7" s="38"/>
      <c r="N7" s="38"/>
      <c r="O7" s="38"/>
      <c r="P7" s="38"/>
      <c r="Q7" s="38"/>
      <c r="R7" s="38"/>
      <c r="S7" s="38"/>
      <c r="T7" s="38"/>
      <c r="U7" s="38"/>
      <c r="V7" s="38"/>
      <c r="W7" s="38"/>
      <c r="X7" s="38"/>
      <c r="Y7" s="38"/>
      <c r="Z7" s="38"/>
      <c r="AA7" s="38"/>
      <c r="AB7" s="38"/>
      <c r="AC7" s="104"/>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s="45" customFormat="1" ht="30" customHeight="1" thickBot="1">
      <c r="A8" s="14"/>
      <c r="B8" s="39" t="s">
        <v>13</v>
      </c>
      <c r="C8" s="40"/>
      <c r="D8" s="41"/>
      <c r="E8" s="42"/>
      <c r="F8" s="43"/>
      <c r="G8" s="17"/>
      <c r="H8" s="5" t="str">
        <f t="shared" ref="H8:H20" ca="1" si="3">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s="45" customFormat="1" ht="30" customHeight="1" thickBot="1">
      <c r="A9" s="14"/>
      <c r="B9" s="46" t="s">
        <v>14</v>
      </c>
      <c r="C9" s="47" t="s">
        <v>15</v>
      </c>
      <c r="D9" s="48">
        <v>1</v>
      </c>
      <c r="E9" s="49">
        <f t="shared" ref="E9:E18" si="4">Project_Start</f>
        <v>46139</v>
      </c>
      <c r="F9" s="49">
        <f>E9+34</f>
        <v>46173</v>
      </c>
      <c r="G9" s="17"/>
      <c r="H9" s="5">
        <f t="shared" ca="1" si="3"/>
        <v>35</v>
      </c>
      <c r="I9" s="50"/>
      <c r="J9" s="50"/>
      <c r="K9" s="50"/>
      <c r="L9" s="50"/>
      <c r="M9" s="50"/>
      <c r="N9" s="50"/>
      <c r="O9" s="50"/>
      <c r="P9" s="50"/>
      <c r="Q9" s="50"/>
      <c r="R9" s="50"/>
      <c r="S9" s="50"/>
      <c r="T9" s="50"/>
      <c r="U9" s="50"/>
      <c r="V9" s="50"/>
      <c r="W9" s="50"/>
      <c r="X9" s="50"/>
      <c r="Y9" s="50"/>
      <c r="Z9" s="50"/>
      <c r="AA9" s="50"/>
      <c r="AB9" s="50"/>
      <c r="AC9" s="105"/>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s="45" customFormat="1" ht="30" customHeight="1">
      <c r="A10" s="14"/>
      <c r="B10" s="51" t="s">
        <v>16</v>
      </c>
      <c r="C10" s="52" t="s">
        <v>17</v>
      </c>
      <c r="D10" s="53">
        <v>1</v>
      </c>
      <c r="E10" s="49">
        <f t="shared" si="4"/>
        <v>46139</v>
      </c>
      <c r="F10" s="54">
        <f>E9+34</f>
        <v>46173</v>
      </c>
      <c r="G10" s="17"/>
      <c r="H10" s="5">
        <f t="shared" ca="1" si="3"/>
        <v>35</v>
      </c>
      <c r="I10" s="50"/>
      <c r="J10" s="50"/>
      <c r="K10" s="50"/>
      <c r="L10" s="50"/>
      <c r="M10" s="50"/>
      <c r="N10" s="50"/>
      <c r="O10" s="50"/>
      <c r="P10" s="50"/>
      <c r="Q10" s="50"/>
      <c r="R10" s="50"/>
      <c r="S10" s="50"/>
      <c r="T10" s="50"/>
      <c r="U10" s="55"/>
      <c r="V10" s="55"/>
      <c r="W10" s="50"/>
      <c r="X10" s="50"/>
      <c r="Y10" s="50"/>
      <c r="Z10" s="50"/>
      <c r="AA10" s="50"/>
      <c r="AB10" s="50"/>
      <c r="AC10" s="105"/>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103"/>
      <c r="BA10" s="103"/>
      <c r="BB10" s="103"/>
      <c r="BC10" s="103"/>
      <c r="BD10" s="103"/>
      <c r="BE10" s="103"/>
      <c r="BF10" s="103"/>
      <c r="BG10" s="103"/>
      <c r="BH10" s="103"/>
      <c r="BI10" s="103"/>
      <c r="BJ10" s="103"/>
      <c r="BK10" s="103"/>
      <c r="BL10" s="103"/>
    </row>
    <row r="11" spans="1:64" s="45" customFormat="1" ht="30" customHeight="1">
      <c r="A11" s="14"/>
      <c r="B11" s="51" t="s">
        <v>18</v>
      </c>
      <c r="C11" s="52" t="s">
        <v>19</v>
      </c>
      <c r="D11" s="53">
        <v>1</v>
      </c>
      <c r="E11" s="49">
        <f t="shared" si="4"/>
        <v>46139</v>
      </c>
      <c r="F11" s="54">
        <f>E9+34</f>
        <v>46173</v>
      </c>
      <c r="G11" s="17"/>
      <c r="H11" s="5"/>
      <c r="I11" s="50"/>
      <c r="J11" s="50"/>
      <c r="K11" s="50"/>
      <c r="L11" s="50"/>
      <c r="M11" s="50"/>
      <c r="N11" s="50"/>
      <c r="O11" s="50"/>
      <c r="P11" s="50"/>
      <c r="Q11" s="50"/>
      <c r="R11" s="50"/>
      <c r="S11" s="50"/>
      <c r="T11" s="50"/>
      <c r="U11" s="55"/>
      <c r="V11" s="55"/>
      <c r="W11" s="50"/>
      <c r="X11" s="50"/>
      <c r="Y11" s="50"/>
      <c r="Z11" s="50"/>
      <c r="AA11" s="50"/>
      <c r="AB11" s="50"/>
      <c r="AC11" s="105"/>
      <c r="AD11" s="103"/>
      <c r="AE11" s="103"/>
      <c r="AF11" s="103"/>
      <c r="AG11" s="103"/>
      <c r="AH11" s="103"/>
      <c r="AI11" s="103"/>
      <c r="AJ11" s="103"/>
      <c r="AK11" s="103"/>
      <c r="AL11" s="103"/>
      <c r="AM11" s="103"/>
      <c r="AN11" s="103"/>
      <c r="AO11" s="103"/>
      <c r="AP11" s="103"/>
      <c r="AQ11" s="103"/>
      <c r="AR11" s="103"/>
      <c r="AS11" s="103"/>
      <c r="AT11" s="103"/>
      <c r="AU11" s="103"/>
      <c r="AV11" s="103"/>
      <c r="AW11" s="103"/>
      <c r="AX11" s="103"/>
      <c r="AY11" s="103"/>
      <c r="AZ11" s="103"/>
      <c r="BA11" s="103"/>
      <c r="BB11" s="103"/>
      <c r="BC11" s="103"/>
      <c r="BD11" s="103"/>
      <c r="BE11" s="103"/>
      <c r="BF11" s="103"/>
      <c r="BG11" s="103"/>
      <c r="BH11" s="103"/>
      <c r="BI11" s="103"/>
      <c r="BJ11" s="103"/>
      <c r="BK11" s="103"/>
      <c r="BL11" s="103"/>
    </row>
    <row r="12" spans="1:64" s="45" customFormat="1" ht="30" customHeight="1">
      <c r="A12" s="13"/>
      <c r="B12" s="51" t="s">
        <v>20</v>
      </c>
      <c r="C12" s="52" t="s">
        <v>19</v>
      </c>
      <c r="D12" s="53">
        <v>1</v>
      </c>
      <c r="E12" s="49">
        <f t="shared" si="4"/>
        <v>46139</v>
      </c>
      <c r="F12" s="54">
        <f>E9+34</f>
        <v>46173</v>
      </c>
      <c r="G12" s="17"/>
      <c r="H12" s="5">
        <f t="shared" ca="1" si="3"/>
        <v>35</v>
      </c>
      <c r="I12" s="50"/>
      <c r="J12" s="50"/>
      <c r="K12" s="50"/>
      <c r="L12" s="50"/>
      <c r="M12" s="50"/>
      <c r="N12" s="50"/>
      <c r="O12" s="50"/>
      <c r="P12" s="50"/>
      <c r="Q12" s="50"/>
      <c r="R12" s="50"/>
      <c r="S12" s="50"/>
      <c r="T12" s="50"/>
      <c r="U12" s="50"/>
      <c r="V12" s="50"/>
      <c r="W12" s="50"/>
      <c r="X12" s="50"/>
      <c r="Y12" s="50"/>
      <c r="Z12" s="50"/>
      <c r="AA12" s="50"/>
      <c r="AB12" s="50"/>
      <c r="AC12" s="105"/>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row>
    <row r="13" spans="1:64" s="45" customFormat="1" ht="30" customHeight="1">
      <c r="A13" s="14"/>
      <c r="B13" s="56" t="s">
        <v>21</v>
      </c>
      <c r="C13" s="57"/>
      <c r="D13" s="58"/>
      <c r="E13" s="107">
        <f t="shared" si="4"/>
        <v>46139</v>
      </c>
      <c r="F13" s="59"/>
      <c r="G13" s="17"/>
      <c r="H13" s="5" t="str">
        <f t="shared" ca="1" si="3"/>
        <v/>
      </c>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row>
    <row r="14" spans="1:64" s="45" customFormat="1" ht="30" customHeight="1">
      <c r="A14" s="14"/>
      <c r="B14" s="106" t="s">
        <v>22</v>
      </c>
      <c r="C14" s="60" t="s">
        <v>17</v>
      </c>
      <c r="D14" s="61">
        <v>1</v>
      </c>
      <c r="E14" s="108">
        <f t="shared" si="4"/>
        <v>46139</v>
      </c>
      <c r="F14" s="62">
        <f>E9+34</f>
        <v>46173</v>
      </c>
      <c r="G14" s="17"/>
      <c r="H14" s="5">
        <f t="shared" ca="1" si="3"/>
        <v>35</v>
      </c>
      <c r="I14" s="50"/>
      <c r="J14" s="50"/>
      <c r="K14" s="50"/>
      <c r="L14" s="50"/>
      <c r="M14" s="50"/>
      <c r="N14" s="50"/>
      <c r="O14" s="50"/>
      <c r="P14" s="50"/>
      <c r="Q14" s="50"/>
      <c r="R14" s="50"/>
      <c r="S14" s="50"/>
      <c r="T14" s="50"/>
      <c r="U14" s="50"/>
      <c r="V14" s="50"/>
      <c r="W14" s="50"/>
      <c r="X14" s="50"/>
      <c r="Y14" s="50"/>
      <c r="Z14" s="50"/>
      <c r="AA14" s="50"/>
      <c r="AB14" s="50"/>
      <c r="AC14" s="105"/>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row>
    <row r="15" spans="1:64" s="45" customFormat="1" ht="30" customHeight="1">
      <c r="A15" s="13"/>
      <c r="B15" s="63" t="s">
        <v>23</v>
      </c>
      <c r="C15" s="64"/>
      <c r="D15" s="65"/>
      <c r="E15" s="110">
        <f t="shared" si="4"/>
        <v>46139</v>
      </c>
      <c r="F15" s="66"/>
      <c r="G15" s="17"/>
      <c r="H15" s="5" t="str">
        <f t="shared" ca="1" si="3"/>
        <v/>
      </c>
      <c r="I15" s="67"/>
      <c r="J15" s="67"/>
      <c r="K15" s="67"/>
      <c r="L15" s="67"/>
      <c r="M15" s="67"/>
      <c r="N15" s="67"/>
      <c r="O15" s="67"/>
      <c r="P15" s="67"/>
      <c r="Q15" s="67"/>
      <c r="R15" s="67"/>
      <c r="S15" s="67"/>
      <c r="T15" s="67"/>
      <c r="U15" s="67"/>
      <c r="V15" s="67"/>
      <c r="W15" s="67"/>
      <c r="X15" s="67"/>
      <c r="Y15" s="67"/>
      <c r="Z15" s="67"/>
      <c r="AA15" s="67"/>
      <c r="AB15" s="67"/>
      <c r="AC15" s="67"/>
      <c r="AD15" s="103"/>
      <c r="AE15" s="103"/>
      <c r="AF15" s="103"/>
      <c r="AG15" s="103"/>
      <c r="AH15" s="103"/>
      <c r="AI15" s="103"/>
      <c r="AJ15" s="103"/>
      <c r="AK15" s="103"/>
      <c r="AL15" s="103"/>
      <c r="AM15" s="103"/>
      <c r="AN15" s="103"/>
      <c r="AO15" s="103"/>
      <c r="AP15" s="103"/>
      <c r="AQ15" s="103"/>
      <c r="AR15" s="103"/>
      <c r="AS15" s="103"/>
      <c r="AT15" s="103"/>
      <c r="AU15" s="103"/>
      <c r="AV15" s="103"/>
      <c r="AW15" s="103"/>
      <c r="AX15" s="103"/>
      <c r="AY15" s="103"/>
      <c r="AZ15" s="103"/>
      <c r="BA15" s="103"/>
      <c r="BB15" s="103"/>
      <c r="BC15" s="103"/>
      <c r="BD15" s="103"/>
      <c r="BE15" s="103"/>
      <c r="BF15" s="103"/>
      <c r="BG15" s="103"/>
      <c r="BH15" s="103"/>
      <c r="BI15" s="103"/>
      <c r="BJ15" s="103"/>
      <c r="BK15" s="103"/>
      <c r="BL15" s="103"/>
    </row>
    <row r="16" spans="1:64" s="45" customFormat="1" ht="30" customHeight="1">
      <c r="A16" s="13"/>
      <c r="B16" s="68" t="s">
        <v>24</v>
      </c>
      <c r="C16" s="69" t="s">
        <v>25</v>
      </c>
      <c r="D16" s="70">
        <v>1</v>
      </c>
      <c r="E16" s="109">
        <f t="shared" si="4"/>
        <v>46139</v>
      </c>
      <c r="F16" s="71">
        <f>E9+34</f>
        <v>46173</v>
      </c>
      <c r="G16" s="17"/>
      <c r="H16" s="5">
        <f t="shared" ca="1" si="3"/>
        <v>35</v>
      </c>
      <c r="I16" s="50"/>
      <c r="J16" s="50"/>
      <c r="K16" s="50"/>
      <c r="L16" s="50"/>
      <c r="M16" s="50"/>
      <c r="N16" s="50"/>
      <c r="O16" s="50"/>
      <c r="P16" s="50"/>
      <c r="Q16" s="50"/>
      <c r="R16" s="50"/>
      <c r="S16" s="50"/>
      <c r="T16" s="50"/>
      <c r="U16" s="50"/>
      <c r="V16" s="50"/>
      <c r="W16" s="50"/>
      <c r="X16" s="50"/>
      <c r="Y16" s="50"/>
      <c r="Z16" s="50"/>
      <c r="AA16" s="50"/>
      <c r="AB16" s="50"/>
      <c r="AC16" s="105"/>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row>
    <row r="17" spans="1:64" s="45" customFormat="1" ht="30" customHeight="1">
      <c r="A17" s="13"/>
      <c r="B17" s="72" t="s">
        <v>26</v>
      </c>
      <c r="C17" s="73"/>
      <c r="D17" s="74"/>
      <c r="E17" s="112">
        <f t="shared" si="4"/>
        <v>46139</v>
      </c>
      <c r="F17" s="75"/>
      <c r="G17" s="17"/>
      <c r="H17" s="5" t="str">
        <f t="shared" ca="1" si="3"/>
        <v/>
      </c>
      <c r="I17" s="76"/>
      <c r="J17" s="76"/>
      <c r="K17" s="76"/>
      <c r="L17" s="76"/>
      <c r="M17" s="76"/>
      <c r="N17" s="76"/>
      <c r="O17" s="76"/>
      <c r="P17" s="76"/>
      <c r="Q17" s="76"/>
      <c r="R17" s="76"/>
      <c r="S17" s="76"/>
      <c r="T17" s="76"/>
      <c r="U17" s="76"/>
      <c r="V17" s="76"/>
      <c r="W17" s="76"/>
      <c r="X17" s="76"/>
      <c r="Y17" s="76"/>
      <c r="Z17" s="76"/>
      <c r="AA17" s="76"/>
      <c r="AB17" s="76"/>
      <c r="AC17" s="76"/>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row>
    <row r="18" spans="1:64" s="45" customFormat="1" ht="30" customHeight="1">
      <c r="A18" s="13"/>
      <c r="B18" s="77" t="s">
        <v>27</v>
      </c>
      <c r="C18" s="78" t="s">
        <v>17</v>
      </c>
      <c r="D18" s="79">
        <v>1</v>
      </c>
      <c r="E18" s="111">
        <f t="shared" si="4"/>
        <v>46139</v>
      </c>
      <c r="F18" s="80">
        <f>E9+34</f>
        <v>46173</v>
      </c>
      <c r="G18" s="17"/>
      <c r="H18" s="5">
        <f t="shared" ca="1" si="3"/>
        <v>35</v>
      </c>
      <c r="I18" s="50"/>
      <c r="J18" s="50"/>
      <c r="K18" s="50"/>
      <c r="L18" s="50"/>
      <c r="M18" s="50"/>
      <c r="N18" s="50"/>
      <c r="O18" s="50"/>
      <c r="P18" s="50"/>
      <c r="Q18" s="50"/>
      <c r="R18" s="50"/>
      <c r="S18" s="50"/>
      <c r="T18" s="50"/>
      <c r="U18" s="50"/>
      <c r="V18" s="50"/>
      <c r="W18" s="50"/>
      <c r="X18" s="50"/>
      <c r="Y18" s="50"/>
      <c r="Z18" s="50"/>
      <c r="AA18" s="50"/>
      <c r="AB18" s="50"/>
      <c r="AC18" s="105"/>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row>
    <row r="19" spans="1:64" s="45" customFormat="1" ht="30" customHeight="1">
      <c r="A19" s="13"/>
      <c r="B19" s="81"/>
      <c r="C19" s="82"/>
      <c r="D19" s="83"/>
      <c r="E19" s="84"/>
      <c r="F19" s="84"/>
      <c r="G19" s="17"/>
      <c r="H19" s="5" t="str">
        <f t="shared" ca="1" si="3"/>
        <v/>
      </c>
      <c r="I19" s="44"/>
      <c r="J19" s="44"/>
      <c r="K19" s="44"/>
      <c r="L19" s="44"/>
      <c r="M19" s="44"/>
      <c r="N19" s="44"/>
      <c r="O19" s="44"/>
      <c r="P19" s="44"/>
      <c r="Q19" s="44"/>
      <c r="R19" s="44"/>
      <c r="S19" s="44"/>
      <c r="T19" s="44"/>
      <c r="U19" s="44"/>
      <c r="V19" s="44"/>
      <c r="W19" s="44"/>
      <c r="X19" s="44"/>
      <c r="Y19" s="44"/>
      <c r="Z19" s="44"/>
      <c r="AA19" s="44"/>
      <c r="AB19" s="44"/>
      <c r="AC19" s="44"/>
      <c r="AD19" s="103"/>
      <c r="AE19" s="103"/>
      <c r="AF19" s="103"/>
      <c r="AG19" s="103"/>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row>
    <row r="20" spans="1:64" s="45" customFormat="1" ht="30" customHeight="1">
      <c r="A20" s="14"/>
      <c r="B20" s="85" t="s">
        <v>28</v>
      </c>
      <c r="C20" s="86"/>
      <c r="D20" s="87"/>
      <c r="E20" s="88"/>
      <c r="F20" s="89"/>
      <c r="G20" s="17"/>
      <c r="H20" s="6" t="str">
        <f t="shared" ca="1" si="3"/>
        <v/>
      </c>
      <c r="I20" s="90"/>
      <c r="J20" s="90"/>
      <c r="K20" s="90"/>
      <c r="L20" s="90"/>
      <c r="M20" s="90"/>
      <c r="N20" s="90"/>
      <c r="O20" s="90"/>
      <c r="P20" s="90"/>
      <c r="Q20" s="90"/>
      <c r="R20" s="90"/>
      <c r="S20" s="90"/>
      <c r="T20" s="90"/>
      <c r="U20" s="90"/>
      <c r="V20" s="90"/>
      <c r="W20" s="90"/>
      <c r="X20" s="90"/>
      <c r="Y20" s="90"/>
      <c r="Z20" s="90"/>
      <c r="AA20" s="90"/>
      <c r="AB20" s="90"/>
      <c r="AC20" s="90"/>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row>
    <row r="21" spans="1:64" ht="30" customHeight="1">
      <c r="G21" s="3"/>
    </row>
    <row r="22" spans="1:64" ht="30" customHeight="1">
      <c r="C22" s="16"/>
      <c r="F22" s="15"/>
    </row>
    <row r="23" spans="1:64" ht="30" customHeight="1">
      <c r="C23"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0">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18">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4">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6:BL16">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18:BL18">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5" xr:uid="{956902D1-D3B5-416D-BB69-9362D193BC0A}"/>
    <dataValidation allowBlank="1" showInputMessage="1" showErrorMessage="1" prompt="Phase 4's sample block starts in cell B26." sqref="A17"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0"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4" zoomScaleNormal="100" workbookViewId="0"/>
  </sheetViews>
  <sheetFormatPr defaultColWidth="9" defaultRowHeight="13.15"/>
  <cols>
    <col min="1" max="1" width="87" style="7" customWidth="1"/>
    <col min="2" max="16384" width="9" style="1"/>
  </cols>
  <sheetData>
    <row r="1" spans="1:2" ht="46.5" customHeight="1"/>
    <row r="2" spans="1:2" s="9" customFormat="1" ht="15.6">
      <c r="A2" s="94" t="s">
        <v>5</v>
      </c>
      <c r="B2" s="8"/>
    </row>
    <row r="3" spans="1:2" s="11" customFormat="1" ht="27" customHeight="1">
      <c r="A3" s="95"/>
      <c r="B3" s="12"/>
    </row>
    <row r="4" spans="1:2" s="10" customFormat="1" ht="30">
      <c r="A4" s="96" t="s">
        <v>29</v>
      </c>
    </row>
    <row r="5" spans="1:2" ht="74.25" customHeight="1">
      <c r="A5" s="97" t="s">
        <v>30</v>
      </c>
    </row>
    <row r="6" spans="1:2" ht="26.25" customHeight="1">
      <c r="A6" s="96" t="s">
        <v>31</v>
      </c>
    </row>
    <row r="7" spans="1:2" s="7" customFormat="1" ht="205.15" customHeight="1">
      <c r="A7" s="98" t="s">
        <v>32</v>
      </c>
    </row>
    <row r="8" spans="1:2" s="10" customFormat="1" ht="30">
      <c r="A8" s="96" t="s">
        <v>33</v>
      </c>
    </row>
    <row r="9" spans="1:2" ht="41.45">
      <c r="A9" s="97" t="s">
        <v>34</v>
      </c>
    </row>
    <row r="10" spans="1:2" s="7" customFormat="1" ht="28.15" customHeight="1">
      <c r="A10" s="99" t="s">
        <v>35</v>
      </c>
    </row>
    <row r="11" spans="1:2" s="10" customFormat="1" ht="30">
      <c r="A11" s="96" t="s">
        <v>36</v>
      </c>
    </row>
    <row r="12" spans="1:2" ht="27.6">
      <c r="A12" s="97" t="s">
        <v>37</v>
      </c>
    </row>
    <row r="13" spans="1:2" s="7" customFormat="1" ht="28.15" customHeight="1">
      <c r="A13" s="99" t="s">
        <v>38</v>
      </c>
    </row>
    <row r="14" spans="1:2" s="10" customFormat="1" ht="30">
      <c r="A14" s="96" t="s">
        <v>39</v>
      </c>
    </row>
    <row r="15" spans="1:2" ht="75" customHeight="1">
      <c r="A15" s="97" t="s">
        <v>40</v>
      </c>
    </row>
    <row r="16" spans="1:2" ht="69">
      <c r="A16" s="97" t="s">
        <v>41</v>
      </c>
    </row>
    <row r="17" spans="1:1">
      <c r="A17" s="100"/>
    </row>
    <row r="18" spans="1:1">
      <c r="A18" s="100"/>
    </row>
    <row r="19" spans="1:1">
      <c r="A19" s="100"/>
    </row>
    <row r="20" spans="1:1">
      <c r="A20" s="100"/>
    </row>
    <row r="21" spans="1:1">
      <c r="A21" s="100"/>
    </row>
    <row r="22" spans="1:1">
      <c r="A22" s="100"/>
    </row>
    <row r="23" spans="1:1">
      <c r="A23" s="100"/>
    </row>
    <row r="24" spans="1:1">
      <c r="A24" s="10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2348D59-3426-404A-A0C5-6456F6613EDB}"/>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 Becker</dc:creator>
  <cp:keywords/>
  <dc:description/>
  <cp:lastModifiedBy>Justin Witcofski</cp:lastModifiedBy>
  <cp:revision/>
  <dcterms:created xsi:type="dcterms:W3CDTF">2026-02-12T18:44:55Z</dcterms:created>
  <dcterms:modified xsi:type="dcterms:W3CDTF">2026-04-30T17:36:38Z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